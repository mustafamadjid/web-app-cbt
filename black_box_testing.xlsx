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uliah_if\Semester_7\web-app-cbt\"/>
    </mc:Choice>
  </mc:AlternateContent>
  <xr:revisionPtr revIDLastSave="0" documentId="13_ncr:1_{59508E22-6AD7-4CC9-80F2-3DE322285BD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lack Box Testing" sheetId="1" r:id="rId1"/>
    <sheet name="Ringkas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12" i="2"/>
  <c r="B11" i="2"/>
  <c r="B10" i="2"/>
  <c r="B9" i="2"/>
  <c r="B5" i="2"/>
  <c r="B4" i="2"/>
</calcChain>
</file>

<file path=xl/sharedStrings.xml><?xml version="1.0" encoding="utf-8"?>
<sst xmlns="http://schemas.openxmlformats.org/spreadsheetml/2006/main" count="165" uniqueCount="134">
  <si>
    <t>Daftar Pengujian Black Box</t>
  </si>
  <si>
    <t>ID Pengujian</t>
  </si>
  <si>
    <t>Fitur yang diuji</t>
  </si>
  <si>
    <t>Deskripsi Pengujian</t>
  </si>
  <si>
    <t>Ekspektasi Hasil</t>
  </si>
  <si>
    <t>Hasil Pengujian</t>
  </si>
  <si>
    <t>BT-01</t>
  </si>
  <si>
    <t>Login</t>
  </si>
  <si>
    <t>Memasukkan username dan password yang valid untuk akun administrator</t>
  </si>
  <si>
    <t>Admin berhasil login dan diarahkan ke dashboard admin</t>
  </si>
  <si>
    <t>BT-02</t>
  </si>
  <si>
    <t>Memasukkan username dan password yang valid untuk akun guru tanpa session aktif sebelumnya</t>
  </si>
  <si>
    <t>Guru berhasil login dan diarahkan ke dashboard guru</t>
  </si>
  <si>
    <t>BT-03</t>
  </si>
  <si>
    <t>Memasukkan username dan password yang valid untuk akun siswa tanpa session aktif sebelumnya</t>
  </si>
  <si>
    <t>Siswa berhasil login dan diarahkan ke dashboard siswa</t>
  </si>
  <si>
    <t>BT-04</t>
  </si>
  <si>
    <t>Percobaan login guru dengan session aktif sebelumnya</t>
  </si>
  <si>
    <t>Sistem menolak login dan menampilkan pesan error untuk logout pada sesi sebelumnya</t>
  </si>
  <si>
    <t>BT-05</t>
  </si>
  <si>
    <t>Percobaan login siswa dengan session aktif sebelumnya</t>
  </si>
  <si>
    <t>BT-06</t>
  </si>
  <si>
    <t>Percobaan login gagal sebanyak 3 kali</t>
  </si>
  <si>
    <t>Sistem menolak login dan menampilkan pesan error untuk menunggu beberapa saat</t>
  </si>
  <si>
    <t>BT-07</t>
  </si>
  <si>
    <t>Field username kosong</t>
  </si>
  <si>
    <t>Sistem menampilkan pesan untuk mengisi username</t>
  </si>
  <si>
    <t>BT-08</t>
  </si>
  <si>
    <t>Field password kosong</t>
  </si>
  <si>
    <t>Sistem menampilkan pesan untuk mengisi password</t>
  </si>
  <si>
    <t>BT-09</t>
  </si>
  <si>
    <t>Memasukkan username yang tidak terdaftar</t>
  </si>
  <si>
    <t>Sistem menolak login dan menampilkan pesan error login gagal</t>
  </si>
  <si>
    <t>BT-10</t>
  </si>
  <si>
    <t>Memasukkan username terdaftar dan password salah</t>
  </si>
  <si>
    <t>BT-11</t>
  </si>
  <si>
    <t>Memasukkan username dengan jumlah karakter kurang dari 5</t>
  </si>
  <si>
    <t>Sistem menampilkan pesan error untuk memeriksa kembali data masukan</t>
  </si>
  <si>
    <t>BT-12</t>
  </si>
  <si>
    <t>Memasukkan username dengan jumlah karakter lebih dari 20</t>
  </si>
  <si>
    <t>BT-13</t>
  </si>
  <si>
    <t>Mengisi username dengan karakter spesial</t>
  </si>
  <si>
    <t>BT-14</t>
  </si>
  <si>
    <t>Logout</t>
  </si>
  <si>
    <t>Percobaan Logout dari akun sah yang sedang login</t>
  </si>
  <si>
    <t>Logout sukses dan user diarahkan ke dalam</t>
  </si>
  <si>
    <t>BT-15</t>
  </si>
  <si>
    <t>Kelola Akun Guru</t>
  </si>
  <si>
    <t>Menambah akun guru dengan semua field terisi</t>
  </si>
  <si>
    <t>Akun berhasil disimpan dan pesan berhasil ditampilkan</t>
  </si>
  <si>
    <t>BT-16</t>
  </si>
  <si>
    <t>Menambah akun guru dengan field email dan nomor hp tidak terisi</t>
  </si>
  <si>
    <t>BT-17</t>
  </si>
  <si>
    <t>Menambah akun guru dengan field  foto tidak terisi</t>
  </si>
  <si>
    <t>BT-18</t>
  </si>
  <si>
    <t>Menambah akun guru dengan field  NIP diisi - (strip)</t>
  </si>
  <si>
    <t>BT-19</t>
  </si>
  <si>
    <t>Menambahkan akun guru dengan email yang sudah terdaftar</t>
  </si>
  <si>
    <t>Sistem menampilkan pesan error bahwa email sudah digunakan</t>
  </si>
  <si>
    <t>BT-20</t>
  </si>
  <si>
    <t>Menambahkan akun guru dengan username yang sudah terdaftar</t>
  </si>
  <si>
    <t>Sistem menampilkan pesan error bahwa username sudah digunakan</t>
  </si>
  <si>
    <t>BT-21</t>
  </si>
  <si>
    <t>Menambahkan akun guru dengan nomor hp yang sudah terdaftar</t>
  </si>
  <si>
    <t>Sistem menampilkan pesan error bahwa nomor hp sudah digunakan</t>
  </si>
  <si>
    <t>BT-22</t>
  </si>
  <si>
    <t>Menambahkan akun guru dengan NIP yang sudah terdaftar</t>
  </si>
  <si>
    <t>BT-23</t>
  </si>
  <si>
    <t>Melakukan update akun guru untuk beberapa field</t>
  </si>
  <si>
    <t>Akun berhasil diubah dan pesan berhasil ditampilkan</t>
  </si>
  <si>
    <t>BT-24</t>
  </si>
  <si>
    <t>Melakukan update akun guru dengan username sudah digunakan</t>
  </si>
  <si>
    <t>BT-25</t>
  </si>
  <si>
    <t>Melakukan update akun guru dengan mengubah role</t>
  </si>
  <si>
    <t>BT-26</t>
  </si>
  <si>
    <t>Melakukan penghapusan akun guru yang terdaftar</t>
  </si>
  <si>
    <t>Akun berhasil dihapus dan pesan berhasil ditampilkan</t>
  </si>
  <si>
    <t>BT-27</t>
  </si>
  <si>
    <t>Kelola Akun Siswa</t>
  </si>
  <si>
    <t>Menambah akun siswa dengan semua field terisi</t>
  </si>
  <si>
    <t>BT-28</t>
  </si>
  <si>
    <t>Menambah akun siswa dengan field email dan nomor hp tidak terisi</t>
  </si>
  <si>
    <t>BT-29</t>
  </si>
  <si>
    <t>Menambah akun siswa dengan field  foto tidak terisi</t>
  </si>
  <si>
    <t>BT-30</t>
  </si>
  <si>
    <t>Menambah akun guru dengan field  NISN diisi - (strip)</t>
  </si>
  <si>
    <t>BT-31</t>
  </si>
  <si>
    <t>Menambahkan akun siswa dengan email yang sudah terdaftar</t>
  </si>
  <si>
    <t>BT-32</t>
  </si>
  <si>
    <t>Menambahkan akun siswa dengan username yang sudah terdaftar</t>
  </si>
  <si>
    <t>BT-33</t>
  </si>
  <si>
    <t>Menambahkan akun siswa dengan nomor hp yang sudah terdaftar</t>
  </si>
  <si>
    <t>BT-34</t>
  </si>
  <si>
    <t>Menambahkan akun siswa dengan NISN yang sudah terdaftar</t>
  </si>
  <si>
    <t>BT-35</t>
  </si>
  <si>
    <t>Melakukan update akun siswa untuk beberapa field</t>
  </si>
  <si>
    <t>BT-36</t>
  </si>
  <si>
    <t>Melakukan update akun siswa dengan username sudah digunakan</t>
  </si>
  <si>
    <t>BT-37</t>
  </si>
  <si>
    <t>Melakukan penghapusan akun siswa yang terdaftar</t>
  </si>
  <si>
    <t>BT-38</t>
  </si>
  <si>
    <t>Reset Login Siswa</t>
  </si>
  <si>
    <t>Admin melakukan logout untuk akun siswa tertentu</t>
  </si>
  <si>
    <t>Reset berhasil dan siswa dapat login dari perangkat baru</t>
  </si>
  <si>
    <t>BT-39</t>
  </si>
  <si>
    <t>Reset Login Guru</t>
  </si>
  <si>
    <t>Admin melakukan logout untuk akun guru tertentu</t>
  </si>
  <si>
    <t>Reset berhasil dan guru dapat login dari perangkat baru</t>
  </si>
  <si>
    <t>BT-40</t>
  </si>
  <si>
    <t>Melihat Log Aktivitas</t>
  </si>
  <si>
    <t>Admin membuka halaman log aktivitas</t>
  </si>
  <si>
    <t>Sistem menampilkan daftar log aktivitas</t>
  </si>
  <si>
    <t>BT-41</t>
  </si>
  <si>
    <t>Lihat Profil Sekolah</t>
  </si>
  <si>
    <t>Admin membuka halaman profil sekolah</t>
  </si>
  <si>
    <t>Sistem menampilkan data profil sekolah</t>
  </si>
  <si>
    <t>BT-42</t>
  </si>
  <si>
    <t>Update Profil Sekolah</t>
  </si>
  <si>
    <t>Admin mengubah beberapa field data profil sekolah</t>
  </si>
  <si>
    <t>Sistem berhasil memperbarui data dan menampilkan pesan berhasil</t>
  </si>
  <si>
    <t>BT-43</t>
  </si>
  <si>
    <t>Admin mengosongkan beberapa field data profil</t>
  </si>
  <si>
    <t>Sistem menampilkan pesan gagal mempebarui data</t>
  </si>
  <si>
    <t>BT-44</t>
  </si>
  <si>
    <t>Validasi Profil Sekolah</t>
  </si>
  <si>
    <t>Admin memasukkan data tidak valid</t>
  </si>
  <si>
    <t>Sistem menolak data dan menampilkan pesan error</t>
  </si>
  <si>
    <t>Ringkasan Pengujian</t>
  </si>
  <si>
    <t>Metrik</t>
  </si>
  <si>
    <t>Nilai</t>
  </si>
  <si>
    <t>Total Pengujian</t>
  </si>
  <si>
    <t>Total Fitur Diuji</t>
  </si>
  <si>
    <t>Fitur yang Diuji</t>
  </si>
  <si>
    <t>Jumlah Pengujian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</si>
</sst>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16" workbookViewId="0">
      <selection activeCell="J41" sqref="J41"/>
    </sheetView>
  </sheetViews>
  <sheetFormatPr defaultRowHeight="14.25"/>
  <cols>
    <col min="1" max="1" width="14" customWidth="1"/>
    <col min="2" max="2" width="24" customWidth="1"/>
    <col min="3" max="4" width="50" customWidth="1"/>
    <col min="5" max="5" width="22" customWidth="1"/>
  </cols>
  <sheetData>
    <row r="1" spans="1:5" ht="18">
      <c r="A1" s="1" t="s">
        <v>0</v>
      </c>
      <c r="B1" s="1"/>
      <c r="C1" s="1"/>
      <c r="D1" s="1"/>
      <c r="E1" s="1"/>
    </row>
    <row r="3" spans="1:5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28.5">
      <c r="A4" s="3" t="s">
        <v>6</v>
      </c>
      <c r="B4" s="4" t="s">
        <v>7</v>
      </c>
      <c r="C4" s="3" t="s">
        <v>8</v>
      </c>
      <c r="D4" s="3" t="s">
        <v>9</v>
      </c>
      <c r="E4" s="3"/>
    </row>
    <row r="5" spans="1:5" ht="28.5">
      <c r="A5" s="3" t="s">
        <v>10</v>
      </c>
      <c r="B5" s="4"/>
      <c r="C5" s="3" t="s">
        <v>11</v>
      </c>
      <c r="D5" s="3" t="s">
        <v>12</v>
      </c>
      <c r="E5" s="3"/>
    </row>
    <row r="6" spans="1:5" ht="28.5">
      <c r="A6" s="3" t="s">
        <v>13</v>
      </c>
      <c r="B6" s="4"/>
      <c r="C6" s="3" t="s">
        <v>14</v>
      </c>
      <c r="D6" s="3" t="s">
        <v>15</v>
      </c>
      <c r="E6" s="3"/>
    </row>
    <row r="7" spans="1:5" ht="28.5">
      <c r="A7" s="3" t="s">
        <v>16</v>
      </c>
      <c r="B7" s="4"/>
      <c r="C7" s="3" t="s">
        <v>17</v>
      </c>
      <c r="D7" s="3" t="s">
        <v>18</v>
      </c>
      <c r="E7" s="3"/>
    </row>
    <row r="8" spans="1:5" ht="28.5">
      <c r="A8" s="3" t="s">
        <v>19</v>
      </c>
      <c r="B8" s="4"/>
      <c r="C8" s="3" t="s">
        <v>20</v>
      </c>
      <c r="D8" s="3" t="s">
        <v>18</v>
      </c>
      <c r="E8" s="3"/>
    </row>
    <row r="9" spans="1:5" ht="28.5">
      <c r="A9" s="3" t="s">
        <v>21</v>
      </c>
      <c r="B9" s="4"/>
      <c r="C9" s="3" t="s">
        <v>22</v>
      </c>
      <c r="D9" s="3" t="s">
        <v>23</v>
      </c>
      <c r="E9" s="3"/>
    </row>
    <row r="10" spans="1:5">
      <c r="A10" s="3" t="s">
        <v>24</v>
      </c>
      <c r="B10" s="4"/>
      <c r="C10" s="3" t="s">
        <v>25</v>
      </c>
      <c r="D10" s="3" t="s">
        <v>26</v>
      </c>
      <c r="E10" s="3"/>
    </row>
    <row r="11" spans="1:5">
      <c r="A11" s="3" t="s">
        <v>27</v>
      </c>
      <c r="B11" s="4"/>
      <c r="C11" s="3" t="s">
        <v>28</v>
      </c>
      <c r="D11" s="3" t="s">
        <v>29</v>
      </c>
      <c r="E11" s="3"/>
    </row>
    <row r="12" spans="1:5" ht="28.5">
      <c r="A12" s="3" t="s">
        <v>30</v>
      </c>
      <c r="B12" s="4"/>
      <c r="C12" s="3" t="s">
        <v>31</v>
      </c>
      <c r="D12" s="3" t="s">
        <v>32</v>
      </c>
      <c r="E12" s="3"/>
    </row>
    <row r="13" spans="1:5" ht="28.5">
      <c r="A13" s="3" t="s">
        <v>33</v>
      </c>
      <c r="B13" s="4"/>
      <c r="C13" s="3" t="s">
        <v>34</v>
      </c>
      <c r="D13" s="3" t="s">
        <v>32</v>
      </c>
      <c r="E13" s="3"/>
    </row>
    <row r="14" spans="1:5" ht="28.5">
      <c r="A14" s="3" t="s">
        <v>35</v>
      </c>
      <c r="B14" s="4"/>
      <c r="C14" s="3" t="s">
        <v>36</v>
      </c>
      <c r="D14" s="3" t="s">
        <v>37</v>
      </c>
      <c r="E14" s="3"/>
    </row>
    <row r="15" spans="1:5" ht="28.5">
      <c r="A15" s="3" t="s">
        <v>38</v>
      </c>
      <c r="B15" s="4"/>
      <c r="C15" s="3" t="s">
        <v>39</v>
      </c>
      <c r="D15" s="3" t="s">
        <v>37</v>
      </c>
      <c r="E15" s="3"/>
    </row>
    <row r="16" spans="1:5" ht="28.5">
      <c r="A16" s="3" t="s">
        <v>40</v>
      </c>
      <c r="B16" s="4"/>
      <c r="C16" s="3" t="s">
        <v>41</v>
      </c>
      <c r="D16" s="3" t="s">
        <v>37</v>
      </c>
      <c r="E16" s="3"/>
    </row>
    <row r="17" spans="1:5">
      <c r="A17" s="3" t="s">
        <v>42</v>
      </c>
      <c r="B17" s="3" t="s">
        <v>43</v>
      </c>
      <c r="C17" s="3" t="s">
        <v>44</v>
      </c>
      <c r="D17" s="3" t="s">
        <v>45</v>
      </c>
      <c r="E17" s="3"/>
    </row>
    <row r="18" spans="1:5">
      <c r="A18" s="3" t="s">
        <v>46</v>
      </c>
      <c r="B18" s="4" t="s">
        <v>47</v>
      </c>
      <c r="C18" s="3" t="s">
        <v>48</v>
      </c>
      <c r="D18" s="3" t="s">
        <v>49</v>
      </c>
      <c r="E18" s="3"/>
    </row>
    <row r="19" spans="1:5" ht="28.5">
      <c r="A19" s="3" t="s">
        <v>50</v>
      </c>
      <c r="B19" s="4"/>
      <c r="C19" s="3" t="s">
        <v>51</v>
      </c>
      <c r="D19" s="3" t="s">
        <v>49</v>
      </c>
      <c r="E19" s="3"/>
    </row>
    <row r="20" spans="1:5">
      <c r="A20" s="3" t="s">
        <v>52</v>
      </c>
      <c r="B20" s="4"/>
      <c r="C20" s="3" t="s">
        <v>53</v>
      </c>
      <c r="D20" s="3" t="s">
        <v>49</v>
      </c>
      <c r="E20" s="3"/>
    </row>
    <row r="21" spans="1:5">
      <c r="A21" s="3" t="s">
        <v>54</v>
      </c>
      <c r="B21" s="4"/>
      <c r="C21" s="3" t="s">
        <v>55</v>
      </c>
      <c r="D21" s="3" t="s">
        <v>49</v>
      </c>
      <c r="E21" s="3"/>
    </row>
    <row r="22" spans="1:5" ht="28.5">
      <c r="A22" s="3" t="s">
        <v>56</v>
      </c>
      <c r="B22" s="4"/>
      <c r="C22" s="3" t="s">
        <v>57</v>
      </c>
      <c r="D22" s="3" t="s">
        <v>58</v>
      </c>
      <c r="E22" s="3"/>
    </row>
    <row r="23" spans="1:5" ht="28.5">
      <c r="A23" s="3" t="s">
        <v>59</v>
      </c>
      <c r="B23" s="4"/>
      <c r="C23" s="3" t="s">
        <v>60</v>
      </c>
      <c r="D23" s="3" t="s">
        <v>61</v>
      </c>
      <c r="E23" s="3"/>
    </row>
    <row r="24" spans="1:5" ht="28.5">
      <c r="A24" s="3" t="s">
        <v>62</v>
      </c>
      <c r="B24" s="4"/>
      <c r="C24" s="3" t="s">
        <v>63</v>
      </c>
      <c r="D24" s="3" t="s">
        <v>64</v>
      </c>
      <c r="E24" s="3"/>
    </row>
    <row r="25" spans="1:5" ht="28.5">
      <c r="A25" s="3" t="s">
        <v>65</v>
      </c>
      <c r="B25" s="4"/>
      <c r="C25" s="3" t="s">
        <v>66</v>
      </c>
      <c r="D25" s="3" t="s">
        <v>64</v>
      </c>
      <c r="E25" s="3"/>
    </row>
    <row r="26" spans="1:5">
      <c r="A26" s="3" t="s">
        <v>67</v>
      </c>
      <c r="B26" s="4"/>
      <c r="C26" s="3" t="s">
        <v>68</v>
      </c>
      <c r="D26" s="3" t="s">
        <v>69</v>
      </c>
      <c r="E26" s="3"/>
    </row>
    <row r="27" spans="1:5" ht="28.5">
      <c r="A27" s="3" t="s">
        <v>70</v>
      </c>
      <c r="B27" s="4"/>
      <c r="C27" s="3" t="s">
        <v>71</v>
      </c>
      <c r="D27" s="3" t="s">
        <v>61</v>
      </c>
      <c r="E27" s="3"/>
    </row>
    <row r="28" spans="1:5">
      <c r="A28" s="3" t="s">
        <v>72</v>
      </c>
      <c r="B28" s="4"/>
      <c r="C28" s="3" t="s">
        <v>73</v>
      </c>
      <c r="D28" s="3" t="s">
        <v>69</v>
      </c>
      <c r="E28" s="3"/>
    </row>
    <row r="29" spans="1:5">
      <c r="A29" s="3" t="s">
        <v>74</v>
      </c>
      <c r="B29" s="4"/>
      <c r="C29" s="3" t="s">
        <v>75</v>
      </c>
      <c r="D29" s="3" t="s">
        <v>76</v>
      </c>
      <c r="E29" s="3"/>
    </row>
    <row r="30" spans="1:5">
      <c r="A30" s="3" t="s">
        <v>77</v>
      </c>
      <c r="B30" s="4" t="s">
        <v>78</v>
      </c>
      <c r="C30" s="3" t="s">
        <v>79</v>
      </c>
      <c r="D30" s="3" t="s">
        <v>49</v>
      </c>
      <c r="E30" s="3"/>
    </row>
    <row r="31" spans="1:5" ht="28.5">
      <c r="A31" s="3" t="s">
        <v>80</v>
      </c>
      <c r="B31" s="4"/>
      <c r="C31" s="3" t="s">
        <v>81</v>
      </c>
      <c r="D31" s="3" t="s">
        <v>49</v>
      </c>
      <c r="E31" s="3"/>
    </row>
    <row r="32" spans="1:5">
      <c r="A32" s="3" t="s">
        <v>82</v>
      </c>
      <c r="B32" s="4"/>
      <c r="C32" s="3" t="s">
        <v>83</v>
      </c>
      <c r="D32" s="3" t="s">
        <v>49</v>
      </c>
      <c r="E32" s="3"/>
    </row>
    <row r="33" spans="1:5">
      <c r="A33" s="3" t="s">
        <v>84</v>
      </c>
      <c r="B33" s="4"/>
      <c r="C33" s="3" t="s">
        <v>85</v>
      </c>
      <c r="D33" s="3" t="s">
        <v>49</v>
      </c>
      <c r="E33" s="3"/>
    </row>
    <row r="34" spans="1:5" ht="28.5">
      <c r="A34" s="3" t="s">
        <v>86</v>
      </c>
      <c r="B34" s="4"/>
      <c r="C34" s="3" t="s">
        <v>87</v>
      </c>
      <c r="D34" s="3" t="s">
        <v>58</v>
      </c>
      <c r="E34" s="3"/>
    </row>
    <row r="35" spans="1:5" ht="28.5">
      <c r="A35" s="3" t="s">
        <v>88</v>
      </c>
      <c r="B35" s="4"/>
      <c r="C35" s="3" t="s">
        <v>89</v>
      </c>
      <c r="D35" s="3" t="s">
        <v>61</v>
      </c>
      <c r="E35" s="3"/>
    </row>
    <row r="36" spans="1:5" ht="28.5">
      <c r="A36" s="3" t="s">
        <v>90</v>
      </c>
      <c r="B36" s="4"/>
      <c r="C36" s="3" t="s">
        <v>91</v>
      </c>
      <c r="D36" s="3" t="s">
        <v>64</v>
      </c>
      <c r="E36" s="3"/>
    </row>
    <row r="37" spans="1:5" ht="28.5">
      <c r="A37" s="3" t="s">
        <v>92</v>
      </c>
      <c r="B37" s="4"/>
      <c r="C37" s="3" t="s">
        <v>93</v>
      </c>
      <c r="D37" s="3" t="s">
        <v>64</v>
      </c>
      <c r="E37" s="3"/>
    </row>
    <row r="38" spans="1:5">
      <c r="A38" s="3" t="s">
        <v>94</v>
      </c>
      <c r="B38" s="4"/>
      <c r="C38" s="3" t="s">
        <v>95</v>
      </c>
      <c r="D38" s="3" t="s">
        <v>69</v>
      </c>
      <c r="E38" s="3"/>
    </row>
    <row r="39" spans="1:5" ht="28.5">
      <c r="A39" s="3" t="s">
        <v>96</v>
      </c>
      <c r="B39" s="4"/>
      <c r="C39" s="3" t="s">
        <v>97</v>
      </c>
      <c r="D39" s="3" t="s">
        <v>61</v>
      </c>
      <c r="E39" s="3"/>
    </row>
    <row r="40" spans="1:5">
      <c r="A40" s="3" t="s">
        <v>98</v>
      </c>
      <c r="B40" s="4"/>
      <c r="C40" s="3" t="s">
        <v>99</v>
      </c>
      <c r="D40" s="3" t="s">
        <v>76</v>
      </c>
      <c r="E40" s="3"/>
    </row>
    <row r="41" spans="1:5">
      <c r="A41" s="3" t="s">
        <v>100</v>
      </c>
      <c r="B41" s="3" t="s">
        <v>101</v>
      </c>
      <c r="C41" s="3" t="s">
        <v>102</v>
      </c>
      <c r="D41" s="3" t="s">
        <v>103</v>
      </c>
      <c r="E41" s="3"/>
    </row>
    <row r="42" spans="1:5">
      <c r="A42" s="3" t="s">
        <v>104</v>
      </c>
      <c r="B42" s="3" t="s">
        <v>105</v>
      </c>
      <c r="C42" s="3" t="s">
        <v>106</v>
      </c>
      <c r="D42" s="3" t="s">
        <v>107</v>
      </c>
      <c r="E42" s="3"/>
    </row>
    <row r="43" spans="1:5">
      <c r="A43" s="3" t="s">
        <v>108</v>
      </c>
      <c r="B43" s="3" t="s">
        <v>109</v>
      </c>
      <c r="C43" s="3" t="s">
        <v>110</v>
      </c>
      <c r="D43" s="3" t="s">
        <v>111</v>
      </c>
      <c r="E43" s="3"/>
    </row>
    <row r="44" spans="1:5">
      <c r="A44" s="3" t="s">
        <v>112</v>
      </c>
      <c r="B44" s="3" t="s">
        <v>113</v>
      </c>
      <c r="C44" s="3" t="s">
        <v>114</v>
      </c>
      <c r="D44" s="3" t="s">
        <v>115</v>
      </c>
      <c r="E44" s="3"/>
    </row>
    <row r="45" spans="1:5" ht="28.5">
      <c r="A45" s="3" t="s">
        <v>116</v>
      </c>
      <c r="B45" s="4" t="s">
        <v>117</v>
      </c>
      <c r="C45" s="3" t="s">
        <v>118</v>
      </c>
      <c r="D45" s="3" t="s">
        <v>119</v>
      </c>
      <c r="E45" s="3"/>
    </row>
    <row r="46" spans="1:5">
      <c r="A46" s="3" t="s">
        <v>120</v>
      </c>
      <c r="B46" s="4"/>
      <c r="C46" s="3" t="s">
        <v>121</v>
      </c>
      <c r="D46" s="3" t="s">
        <v>122</v>
      </c>
      <c r="E46" s="3"/>
    </row>
    <row r="47" spans="1:5">
      <c r="A47" s="3" t="s">
        <v>123</v>
      </c>
      <c r="B47" s="3" t="s">
        <v>124</v>
      </c>
      <c r="C47" s="3" t="s">
        <v>125</v>
      </c>
      <c r="D47" s="3" t="s">
        <v>126</v>
      </c>
      <c r="E47" s="3"/>
    </row>
  </sheetData>
  <mergeCells count="4">
    <mergeCell ref="B4:B16"/>
    <mergeCell ref="B18:B29"/>
    <mergeCell ref="B30:B40"/>
    <mergeCell ref="B45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25"/>
  <cols>
    <col min="1" max="1" width="28" customWidth="1"/>
    <col min="2" max="2" width="18" customWidth="1"/>
  </cols>
  <sheetData>
    <row r="1" spans="1:2" ht="18">
      <c r="A1" s="1" t="s">
        <v>127</v>
      </c>
      <c r="B1" s="1"/>
    </row>
    <row r="3" spans="1:2" ht="15">
      <c r="A3" s="2" t="s">
        <v>128</v>
      </c>
      <c r="B3" s="2" t="s">
        <v>129</v>
      </c>
    </row>
    <row r="4" spans="1:2">
      <c r="A4" t="s">
        <v>130</v>
      </c>
      <c r="B4">
        <f>COUNTA('Black Box Testing'!$A$4:$A$47)</f>
        <v>44</v>
      </c>
    </row>
    <row r="5" spans="1:2">
      <c r="A5" t="s">
        <v>131</v>
      </c>
      <c r="B5">
        <f>COUNTA(A9:A18)</f>
        <v>10</v>
      </c>
    </row>
    <row r="8" spans="1:2" ht="15">
      <c r="A8" s="2" t="s">
        <v>132</v>
      </c>
      <c r="B8" s="2" t="s">
        <v>133</v>
      </c>
    </row>
    <row r="9" spans="1:2">
      <c r="A9" t="s">
        <v>7</v>
      </c>
      <c r="B9">
        <f>COUNTIF('Black Box Testing'!$B:$B,A9)</f>
        <v>1</v>
      </c>
    </row>
    <row r="10" spans="1:2">
      <c r="A10" t="s">
        <v>43</v>
      </c>
      <c r="B10">
        <f>COUNTIF('Black Box Testing'!$B:$B,A10)</f>
        <v>1</v>
      </c>
    </row>
    <row r="11" spans="1:2">
      <c r="A11" t="s">
        <v>47</v>
      </c>
      <c r="B11">
        <f>COUNTIF('Black Box Testing'!$B:$B,A11)</f>
        <v>1</v>
      </c>
    </row>
    <row r="12" spans="1:2">
      <c r="A12" t="s">
        <v>78</v>
      </c>
      <c r="B12">
        <f>COUNTIF('Black Box Testing'!$B:$B,A12)</f>
        <v>1</v>
      </c>
    </row>
    <row r="13" spans="1:2">
      <c r="A13" t="s">
        <v>101</v>
      </c>
      <c r="B13">
        <f>COUNTIF('Black Box Testing'!$B:$B,A13)</f>
        <v>1</v>
      </c>
    </row>
    <row r="14" spans="1:2">
      <c r="A14" t="s">
        <v>105</v>
      </c>
      <c r="B14">
        <f>COUNTIF('Black Box Testing'!$B:$B,A14)</f>
        <v>1</v>
      </c>
    </row>
    <row r="15" spans="1:2">
      <c r="A15" t="s">
        <v>109</v>
      </c>
      <c r="B15">
        <f>COUNTIF('Black Box Testing'!$B:$B,A15)</f>
        <v>1</v>
      </c>
    </row>
    <row r="16" spans="1:2">
      <c r="A16" t="s">
        <v>113</v>
      </c>
      <c r="B16">
        <f>COUNTIF('Black Box Testing'!$B:$B,A16)</f>
        <v>1</v>
      </c>
    </row>
    <row r="17" spans="1:2">
      <c r="A17" t="s">
        <v>117</v>
      </c>
      <c r="B17">
        <f>COUNTIF('Black Box Testing'!$B:$B,A17)</f>
        <v>1</v>
      </c>
    </row>
    <row r="18" spans="1:2">
      <c r="A18" t="s">
        <v>124</v>
      </c>
      <c r="B18">
        <f>COUNTIF('Black Box Testing'!$B:$B,A18)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 Box Testing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Madjid</cp:lastModifiedBy>
  <dcterms:modified xsi:type="dcterms:W3CDTF">2026-05-09T06:06:48Z</dcterms:modified>
</cp:coreProperties>
</file>